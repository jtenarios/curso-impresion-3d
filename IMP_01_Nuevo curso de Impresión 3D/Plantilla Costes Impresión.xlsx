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rol3D\Desktop\Masterclass Costes de piezas\"/>
    </mc:Choice>
  </mc:AlternateContent>
  <xr:revisionPtr revIDLastSave="0" documentId="8_{A33BAE69-663C-45C9-A4A3-3795607AEC6F}" xr6:coauthVersionLast="47" xr6:coauthVersionMax="47" xr10:uidLastSave="{00000000-0000-0000-0000-000000000000}"/>
  <bookViews>
    <workbookView xWindow="-120" yWindow="-120" windowWidth="51840" windowHeight="21120" xr2:uid="{8FC2CA6F-58AE-43DC-BAB0-9F1A04C193F5}"/>
  </bookViews>
  <sheets>
    <sheet name="Tabla de cálculo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3" l="1"/>
  <c r="D33" i="3" s="1"/>
  <c r="D24" i="3"/>
  <c r="J14" i="3"/>
  <c r="A33" i="3" s="1"/>
  <c r="C33" i="3"/>
  <c r="F19" i="3"/>
  <c r="B33" i="3" l="1"/>
  <c r="E33" i="3" s="1"/>
  <c r="H33" i="3" l="1"/>
  <c r="I33" i="3" l="1"/>
  <c r="J33" i="3" s="1"/>
</calcChain>
</file>

<file path=xl/sharedStrings.xml><?xml version="1.0" encoding="utf-8"?>
<sst xmlns="http://schemas.openxmlformats.org/spreadsheetml/2006/main" count="54" uniqueCount="46">
  <si>
    <t>Material</t>
  </si>
  <si>
    <t>Básico</t>
  </si>
  <si>
    <t>PLA</t>
  </si>
  <si>
    <t>Marca</t>
  </si>
  <si>
    <t>Kg Usados</t>
  </si>
  <si>
    <t>Electricidad</t>
  </si>
  <si>
    <t>Coste KWh</t>
  </si>
  <si>
    <t>KW</t>
  </si>
  <si>
    <t>Total</t>
  </si>
  <si>
    <t>Mantenimiento</t>
  </si>
  <si>
    <t>Impresora</t>
  </si>
  <si>
    <t>Archivo</t>
  </si>
  <si>
    <t>Operario</t>
  </si>
  <si>
    <t>Precio/hora</t>
  </si>
  <si>
    <t>Subtotal</t>
  </si>
  <si>
    <t>Bambulab</t>
  </si>
  <si>
    <t xml:space="preserve">Benchy </t>
  </si>
  <si>
    <t>Precio Final</t>
  </si>
  <si>
    <t>IVA (21%)</t>
  </si>
  <si>
    <t>Materiales Auxiliares</t>
  </si>
  <si>
    <t>Masilla</t>
  </si>
  <si>
    <t>Pintura</t>
  </si>
  <si>
    <t>Coste de Electricidad</t>
  </si>
  <si>
    <t>Precio Kg Filamento (sin IVA)</t>
  </si>
  <si>
    <t>Coste total</t>
  </si>
  <si>
    <t>horas de Impresión</t>
  </si>
  <si>
    <t>Nº Operarios</t>
  </si>
  <si>
    <t>Coste Operarios</t>
  </si>
  <si>
    <t>Tira led</t>
  </si>
  <si>
    <t>Imprimación</t>
  </si>
  <si>
    <t>Horas de trabajo</t>
  </si>
  <si>
    <t>Boquilla (mm)</t>
  </si>
  <si>
    <t>Capa (mm)</t>
  </si>
  <si>
    <t>Factor de Error</t>
  </si>
  <si>
    <t>Mat. Auxiliares</t>
  </si>
  <si>
    <t>Coste Total Sin IVA</t>
  </si>
  <si>
    <t>*Nota: Todos los precios se calculan sin IVA</t>
  </si>
  <si>
    <t>CÁLCULO DE COSTE DE PIEZAS EN IMPRESIÓN 3D</t>
  </si>
  <si>
    <t>Material 1</t>
  </si>
  <si>
    <t>Material 2</t>
  </si>
  <si>
    <t>Material 3</t>
  </si>
  <si>
    <t>Packaging</t>
  </si>
  <si>
    <t>Material 4</t>
  </si>
  <si>
    <t>Introduce los datos de tu proyecto para calcular su coste</t>
  </si>
  <si>
    <t>Beneficio (15-30%)</t>
  </si>
  <si>
    <t xml:space="preserve">Coste de Material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</si>
</sst>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 val="singleAccounting"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theme="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6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4" fillId="0" borderId="0" xfId="0" applyNumberFormat="1" applyFont="1"/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2" applyAlignment="1">
      <alignment vertical="center"/>
    </xf>
    <xf numFmtId="0" fontId="2" fillId="0" borderId="1" xfId="2"/>
    <xf numFmtId="0" fontId="2" fillId="0" borderId="1" xfId="2" applyAlignment="1"/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4" fontId="6" fillId="0" borderId="5" xfId="1" applyFont="1" applyBorder="1" applyAlignment="1">
      <alignment horizontal="center"/>
    </xf>
    <xf numFmtId="44" fontId="7" fillId="0" borderId="0" xfId="0" applyNumberFormat="1" applyFont="1" applyBorder="1" applyAlignment="1">
      <alignment horizontal="center"/>
    </xf>
    <xf numFmtId="44" fontId="6" fillId="0" borderId="4" xfId="0" applyNumberFormat="1" applyFont="1" applyBorder="1" applyAlignment="1">
      <alignment horizontal="center"/>
    </xf>
    <xf numFmtId="0" fontId="3" fillId="0" borderId="0" xfId="0" applyFont="1"/>
    <xf numFmtId="0" fontId="8" fillId="0" borderId="1" xfId="2" applyFont="1" applyAlignment="1">
      <alignment horizontal="center"/>
    </xf>
    <xf numFmtId="0" fontId="9" fillId="0" borderId="1" xfId="2" applyFont="1" applyAlignment="1"/>
    <xf numFmtId="0" fontId="9" fillId="0" borderId="1" xfId="2" applyFont="1" applyAlignment="1">
      <alignment vertical="center"/>
    </xf>
    <xf numFmtId="44" fontId="10" fillId="0" borderId="0" xfId="1" applyFont="1" applyAlignment="1">
      <alignment horizontal="center" vertical="center"/>
    </xf>
    <xf numFmtId="44" fontId="10" fillId="5" borderId="0" xfId="6" applyNumberFormat="1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44" fontId="10" fillId="0" borderId="0" xfId="0" applyNumberFormat="1" applyFont="1" applyAlignment="1">
      <alignment horizontal="center"/>
    </xf>
    <xf numFmtId="44" fontId="10" fillId="3" borderId="0" xfId="4" applyNumberFormat="1" applyFont="1"/>
    <xf numFmtId="44" fontId="10" fillId="4" borderId="0" xfId="5" applyNumberFormat="1" applyFont="1"/>
    <xf numFmtId="44" fontId="10" fillId="2" borderId="0" xfId="3" applyNumberFormat="1" applyFont="1"/>
    <xf numFmtId="44" fontId="10" fillId="5" borderId="0" xfId="6" applyNumberFormat="1" applyFont="1" applyAlignment="1">
      <alignment horizontal="center"/>
    </xf>
    <xf numFmtId="44" fontId="10" fillId="3" borderId="0" xfId="4" applyNumberFormat="1" applyFont="1" applyAlignment="1">
      <alignment horizontal="center"/>
    </xf>
    <xf numFmtId="44" fontId="10" fillId="4" borderId="0" xfId="5" applyNumberFormat="1" applyFont="1" applyAlignment="1">
      <alignment horizontal="center"/>
    </xf>
    <xf numFmtId="44" fontId="10" fillId="2" borderId="0" xfId="3" applyNumberFormat="1" applyFont="1" applyAlignment="1">
      <alignment horizontal="center"/>
    </xf>
    <xf numFmtId="44" fontId="10" fillId="0" borderId="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</cellXfs>
  <cellStyles count="7">
    <cellStyle name="20% - Énfasis4" xfId="3" builtinId="42"/>
    <cellStyle name="40% - Énfasis4" xfId="4" builtinId="43"/>
    <cellStyle name="40% - Énfasis5" xfId="5" builtinId="47"/>
    <cellStyle name="40% - Énfasis6" xfId="6" builtinId="51"/>
    <cellStyle name="Encabezado 1" xfId="2" builtinId="16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76201</xdr:colOff>
      <xdr:row>1</xdr:row>
      <xdr:rowOff>95250</xdr:rowOff>
    </xdr:from>
    <xdr:to>
      <xdr:col>5</xdr:col>
      <xdr:colOff>971551</xdr:colOff>
      <xdr:row>6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DD9F1D-1AAE-CD81-945B-4F37F0E25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1" y="285750"/>
          <a:ext cx="89535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6FD2-B862-4F3B-BC4B-151DD21E7CE3}">
  <dimension ref="A7:K36"/>
  <sheetViews>
    <sheetView tabSelected="1" workbookViewId="0">
      <selection activeCell="M33" sqref="M33"/>
    </sheetView>
  </sheetViews>
  <sheetFormatPr baseColWidth="10" defaultRowHeight="15" x14ac:dyDescent="0.25"/>
  <cols>
    <col min="1" max="1" width="13.5703125" customWidth="1"/>
    <col min="2" max="2" width="16.140625" customWidth="1"/>
    <col min="3" max="3" width="13.85546875" customWidth="1"/>
    <col min="4" max="4" width="15.7109375" customWidth="1"/>
    <col min="5" max="5" width="27.5703125" customWidth="1"/>
    <col min="6" max="6" width="15.7109375" customWidth="1"/>
    <col min="7" max="7" width="22" customWidth="1"/>
    <col min="8" max="8" width="23.7109375" customWidth="1"/>
    <col min="9" max="9" width="27.85546875" customWidth="1"/>
    <col min="10" max="10" width="16.5703125" customWidth="1"/>
    <col min="11" max="11" width="23.42578125" customWidth="1"/>
  </cols>
  <sheetData>
    <row r="7" spans="1:10" ht="15.75" customHeight="1" x14ac:dyDescent="0.25"/>
    <row r="8" spans="1:10" ht="31.5" customHeight="1" thickBot="1" x14ac:dyDescent="0.6">
      <c r="A8" s="19" t="s">
        <v>37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25.5" customHeight="1" thickTop="1" x14ac:dyDescent="0.25">
      <c r="A9" s="35" t="s">
        <v>43</v>
      </c>
      <c r="B9" s="35"/>
      <c r="C9" s="35"/>
      <c r="D9" s="35"/>
      <c r="E9" s="35"/>
      <c r="F9" s="35"/>
      <c r="G9" s="35"/>
      <c r="H9" s="35"/>
      <c r="I9" s="35"/>
      <c r="J9" s="35"/>
    </row>
    <row r="12" spans="1:10" ht="21.75" thickBot="1" x14ac:dyDescent="0.4">
      <c r="A12" s="20" t="s">
        <v>45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ht="16.5" thickTop="1" x14ac:dyDescent="0.25">
      <c r="A13" s="6" t="s">
        <v>11</v>
      </c>
      <c r="B13" s="6" t="s">
        <v>10</v>
      </c>
      <c r="C13" s="6" t="s">
        <v>0</v>
      </c>
      <c r="D13" s="6" t="s">
        <v>3</v>
      </c>
      <c r="E13" s="6" t="s">
        <v>31</v>
      </c>
      <c r="F13" s="6" t="s">
        <v>32</v>
      </c>
      <c r="G13" s="6" t="s">
        <v>4</v>
      </c>
      <c r="H13" s="6" t="s">
        <v>33</v>
      </c>
      <c r="I13" s="5" t="s">
        <v>23</v>
      </c>
      <c r="J13" s="22" t="s">
        <v>8</v>
      </c>
    </row>
    <row r="14" spans="1:10" ht="15.75" x14ac:dyDescent="0.25">
      <c r="A14" s="2" t="s">
        <v>16</v>
      </c>
      <c r="B14" s="2" t="s">
        <v>15</v>
      </c>
      <c r="C14" s="2" t="s">
        <v>2</v>
      </c>
      <c r="D14" s="2" t="s">
        <v>1</v>
      </c>
      <c r="E14" s="2">
        <v>0.4</v>
      </c>
      <c r="F14" s="2">
        <v>0.2</v>
      </c>
      <c r="G14">
        <v>1.0999999999999999E-2</v>
      </c>
      <c r="H14">
        <v>1.05</v>
      </c>
      <c r="I14" s="1">
        <v>14.8</v>
      </c>
      <c r="J14" s="23">
        <f>PRODUCT(G14:I14)</f>
        <v>0.17094000000000001</v>
      </c>
    </row>
    <row r="15" spans="1:10" x14ac:dyDescent="0.25">
      <c r="E15" s="2"/>
      <c r="F15" s="2"/>
      <c r="I15" s="1"/>
      <c r="J15" s="1"/>
    </row>
    <row r="17" spans="1:10" ht="21.75" thickBot="1" x14ac:dyDescent="0.35">
      <c r="A17" s="21" t="s">
        <v>22</v>
      </c>
      <c r="B17" s="7"/>
      <c r="C17" s="7"/>
      <c r="D17" s="7"/>
      <c r="E17" s="7"/>
      <c r="F17" s="7"/>
      <c r="G17" s="8"/>
      <c r="H17" s="8"/>
      <c r="I17" s="8"/>
      <c r="J17" s="8"/>
    </row>
    <row r="18" spans="1:10" ht="16.5" thickTop="1" x14ac:dyDescent="0.25">
      <c r="A18" s="6" t="s">
        <v>11</v>
      </c>
      <c r="B18" s="6" t="s">
        <v>10</v>
      </c>
      <c r="C18" s="6" t="s">
        <v>25</v>
      </c>
      <c r="D18" s="6" t="s">
        <v>6</v>
      </c>
      <c r="E18" s="6" t="s">
        <v>7</v>
      </c>
      <c r="F18" s="24" t="s">
        <v>8</v>
      </c>
      <c r="G18" s="3"/>
    </row>
    <row r="19" spans="1:10" ht="15.75" x14ac:dyDescent="0.25">
      <c r="A19" s="2" t="s">
        <v>16</v>
      </c>
      <c r="B19" s="2" t="s">
        <v>15</v>
      </c>
      <c r="C19" s="2">
        <v>0.7</v>
      </c>
      <c r="D19" s="1">
        <v>0.17</v>
      </c>
      <c r="E19">
        <v>0.4</v>
      </c>
      <c r="F19" s="27">
        <f>PRODUCT(C19:E19)</f>
        <v>4.7600000000000003E-2</v>
      </c>
    </row>
    <row r="20" spans="1:10" x14ac:dyDescent="0.25">
      <c r="D20" s="1"/>
      <c r="F20" s="1"/>
    </row>
    <row r="21" spans="1:10" x14ac:dyDescent="0.25">
      <c r="F21" s="4"/>
    </row>
    <row r="22" spans="1:10" ht="21.75" thickBot="1" x14ac:dyDescent="0.35">
      <c r="A22" s="21" t="s">
        <v>27</v>
      </c>
      <c r="B22" s="7"/>
      <c r="C22" s="7"/>
      <c r="D22" s="8"/>
      <c r="E22" s="8"/>
      <c r="F22" s="8"/>
      <c r="G22" s="8"/>
      <c r="H22" s="8"/>
      <c r="I22" s="8"/>
      <c r="J22" s="8"/>
    </row>
    <row r="23" spans="1:10" ht="16.5" thickTop="1" x14ac:dyDescent="0.25">
      <c r="A23" s="18" t="s">
        <v>26</v>
      </c>
      <c r="B23" s="6" t="s">
        <v>30</v>
      </c>
      <c r="C23" s="6" t="s">
        <v>13</v>
      </c>
      <c r="D23" s="24" t="s">
        <v>8</v>
      </c>
    </row>
    <row r="24" spans="1:10" ht="15.75" x14ac:dyDescent="0.25">
      <c r="A24" s="2">
        <v>1</v>
      </c>
      <c r="B24" s="2">
        <v>0.1</v>
      </c>
      <c r="C24" s="1">
        <v>18</v>
      </c>
      <c r="D24" s="28">
        <f>PRODUCT(B24:C24)</f>
        <v>1.8</v>
      </c>
    </row>
    <row r="27" spans="1:10" ht="21.75" thickBot="1" x14ac:dyDescent="0.35">
      <c r="A27" s="21" t="s">
        <v>19</v>
      </c>
      <c r="B27" s="7"/>
      <c r="C27" s="7"/>
      <c r="D27" s="8"/>
      <c r="E27" s="8"/>
      <c r="F27" s="8"/>
      <c r="G27" s="8"/>
      <c r="H27" s="8"/>
      <c r="I27" s="8"/>
      <c r="J27" s="8"/>
    </row>
    <row r="28" spans="1:10" ht="16.5" thickTop="1" x14ac:dyDescent="0.25">
      <c r="A28" s="10" t="s">
        <v>21</v>
      </c>
      <c r="B28" s="10" t="s">
        <v>20</v>
      </c>
      <c r="C28" s="10" t="s">
        <v>28</v>
      </c>
      <c r="D28" s="6" t="s">
        <v>29</v>
      </c>
      <c r="E28" s="6" t="s">
        <v>41</v>
      </c>
      <c r="F28" s="10" t="s">
        <v>38</v>
      </c>
      <c r="G28" s="10" t="s">
        <v>39</v>
      </c>
      <c r="H28" s="10" t="s">
        <v>40</v>
      </c>
      <c r="I28" s="10" t="s">
        <v>42</v>
      </c>
      <c r="J28" s="24" t="s">
        <v>8</v>
      </c>
    </row>
    <row r="29" spans="1:10" ht="15.75" x14ac:dyDescent="0.25">
      <c r="E29" s="1"/>
      <c r="J29" s="29">
        <f>PRODUCT(A29:I29)</f>
        <v>0</v>
      </c>
    </row>
    <row r="31" spans="1:10" ht="21.75" thickBot="1" x14ac:dyDescent="0.35">
      <c r="A31" s="21" t="s">
        <v>24</v>
      </c>
      <c r="B31" s="7"/>
      <c r="C31" s="7"/>
      <c r="D31" s="7"/>
      <c r="E31" s="7"/>
      <c r="F31" s="7"/>
      <c r="G31" s="8"/>
      <c r="H31" s="8"/>
      <c r="I31" s="8"/>
      <c r="J31" s="8"/>
    </row>
    <row r="32" spans="1:10" ht="19.5" thickTop="1" x14ac:dyDescent="0.3">
      <c r="A32" s="25" t="s">
        <v>0</v>
      </c>
      <c r="B32" s="25" t="s">
        <v>5</v>
      </c>
      <c r="C32" s="25" t="s">
        <v>12</v>
      </c>
      <c r="D32" s="25" t="s">
        <v>34</v>
      </c>
      <c r="E32" s="25" t="s">
        <v>14</v>
      </c>
      <c r="F32" s="25" t="s">
        <v>9</v>
      </c>
      <c r="G32" s="25" t="s">
        <v>44</v>
      </c>
      <c r="H32" s="14" t="s">
        <v>35</v>
      </c>
      <c r="I32" s="13" t="s">
        <v>18</v>
      </c>
      <c r="J32" s="13" t="s">
        <v>17</v>
      </c>
    </row>
    <row r="33" spans="1:11" ht="21" x14ac:dyDescent="0.45">
      <c r="A33" s="30">
        <f>J14</f>
        <v>0.17094000000000001</v>
      </c>
      <c r="B33" s="31">
        <f>SUM(F19:F20)</f>
        <v>4.7600000000000003E-2</v>
      </c>
      <c r="C33" s="32">
        <f>PRODUCT(B24:C24)</f>
        <v>1.8</v>
      </c>
      <c r="D33" s="33">
        <f>J29</f>
        <v>0</v>
      </c>
      <c r="E33" s="26">
        <f>SUM(A33:D33)</f>
        <v>2.0185400000000002</v>
      </c>
      <c r="F33" s="26">
        <v>1.1000000000000001</v>
      </c>
      <c r="G33" s="34">
        <v>1.5</v>
      </c>
      <c r="H33" s="15">
        <f>PRODUCT(E33:G33)</f>
        <v>3.330591000000001</v>
      </c>
      <c r="I33" s="16">
        <f>H33*0.21</f>
        <v>0.69942411000000015</v>
      </c>
      <c r="J33" s="17">
        <f>H33+I33</f>
        <v>4.0300151100000008</v>
      </c>
      <c r="K33" s="12"/>
    </row>
    <row r="34" spans="1:11" x14ac:dyDescent="0.25">
      <c r="I34" s="11"/>
      <c r="J34" s="11"/>
    </row>
    <row r="36" spans="1:11" x14ac:dyDescent="0.25">
      <c r="A36" t="s">
        <v>36</v>
      </c>
    </row>
  </sheetData>
  <mergeCells count="2">
    <mergeCell ref="A8:J8"/>
    <mergeCell ref="A9:J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</dc:creator>
  <cp:lastModifiedBy>Control3D</cp:lastModifiedBy>
  <dcterms:created xsi:type="dcterms:W3CDTF">2023-05-05T11:13:47Z</dcterms:created>
  <dcterms:modified xsi:type="dcterms:W3CDTF">2023-12-22T17:24:56Z</dcterms:modified>
</cp:coreProperties>
</file>